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l\Desktop\WebLLM\webllm\vision_dynamic_dataset\"/>
    </mc:Choice>
  </mc:AlternateContent>
  <xr:revisionPtr revIDLastSave="0" documentId="13_ncr:1_{27CB9179-E87A-461D-8686-E5274BE86BCF}" xr6:coauthVersionLast="47" xr6:coauthVersionMax="47" xr10:uidLastSave="{00000000-0000-0000-0000-000000000000}"/>
  <bookViews>
    <workbookView xWindow="-110" yWindow="-110" windowWidth="19420" windowHeight="10300" xr2:uid="{8B537734-F3F6-46C7-BB41-19E5058D9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17" i="1"/>
  <c r="C35" i="1"/>
  <c r="C29" i="1"/>
  <c r="C4" i="1"/>
  <c r="C47" i="1"/>
  <c r="C21" i="1"/>
  <c r="C45" i="1"/>
  <c r="C37" i="1"/>
  <c r="C39" i="1"/>
</calcChain>
</file>

<file path=xl/sharedStrings.xml><?xml version="1.0" encoding="utf-8"?>
<sst xmlns="http://schemas.openxmlformats.org/spreadsheetml/2006/main" count="243" uniqueCount="167">
  <si>
    <t>id</t>
  </si>
  <si>
    <t>type</t>
  </si>
  <si>
    <t>image_path</t>
  </si>
  <si>
    <t>question</t>
  </si>
  <si>
    <t>reference_answer</t>
  </si>
  <si>
    <t>true_on</t>
  </si>
  <si>
    <t>key_date</t>
  </si>
  <si>
    <t>film</t>
  </si>
  <si>
    <t>vision_dynamic_dataset\\001.jpg</t>
  </si>
  <si>
    <t>vision_dynamic_dataset\\002.jpg</t>
  </si>
  <si>
    <t>vision_dynamic_dataset\\004.jpg</t>
  </si>
  <si>
    <t>vision_dynamic_dataset\\005.jpg</t>
  </si>
  <si>
    <t>vision_dynamic_dataset\\006.jpg</t>
  </si>
  <si>
    <t>vision_dynamic_dataset\\007.jpg</t>
  </si>
  <si>
    <t>vision_dynamic_dataset\\008.jpg</t>
  </si>
  <si>
    <t>vision_dynamic_dataset\\009.jpg</t>
  </si>
  <si>
    <t>vision_dynamic_dataset\\010.jpg</t>
  </si>
  <si>
    <t>vision_dynamic_dataset\\003.jpeg</t>
  </si>
  <si>
    <t>Who is the lead actor in this movie?</t>
  </si>
  <si>
    <t>What is the current IMDB rating for this?</t>
  </si>
  <si>
    <t>What is the current RottenTomatoes approval rating for this?</t>
  </si>
  <si>
    <t>What date was this movie released in India?</t>
  </si>
  <si>
    <t>March 26, 2026</t>
  </si>
  <si>
    <t>Philippe Lacheau</t>
  </si>
  <si>
    <t>Kitao Sakurai</t>
  </si>
  <si>
    <t>Who is the director for this?</t>
  </si>
  <si>
    <t>What is the latest film in Jan 2026 which this person starred?</t>
  </si>
  <si>
    <t>Shelter</t>
  </si>
  <si>
    <t>What is the latest film in Oct 2026 which this person starred?</t>
  </si>
  <si>
    <t>Wife and Dog</t>
  </si>
  <si>
    <t>Mel Gibson</t>
  </si>
  <si>
    <t xml:space="preserve">Tony </t>
  </si>
  <si>
    <t>What is the latest film in which this person is starring in Auguest 2026?</t>
  </si>
  <si>
    <t>Victoria Luengo as Emilia Vera</t>
  </si>
  <si>
    <t>Who did this person star alongside in their most recent movie, a drama movie in May 2026?</t>
  </si>
  <si>
    <t>football</t>
  </si>
  <si>
    <t>vision_dynamic_dataset\\011.jpg</t>
  </si>
  <si>
    <t>What team does the person play for in June 2026?</t>
  </si>
  <si>
    <t>Brentford FC</t>
  </si>
  <si>
    <t>AFC Bournemouth</t>
  </si>
  <si>
    <t>vision_dynamic_dataset\\012.jpg</t>
  </si>
  <si>
    <t>What team does the person play for currently?</t>
  </si>
  <si>
    <t>vision_dynamic_dataset\\013.jpg</t>
  </si>
  <si>
    <t>vision_dynamic_dataset\\014.jpg</t>
  </si>
  <si>
    <t>vision_dynamic_dataset\\015.jpg</t>
  </si>
  <si>
    <t>vision_dynamic_dataset\\016.jpg</t>
  </si>
  <si>
    <t>vision_dynamic_dataset\\017.jpg</t>
  </si>
  <si>
    <t>vision_dynamic_dataset\\018.jpg</t>
  </si>
  <si>
    <t>vision_dynamic_dataset\\019.jpg</t>
  </si>
  <si>
    <t>vision_dynamic_dataset\\020.jpg</t>
  </si>
  <si>
    <t>Preston North End FC</t>
  </si>
  <si>
    <t>Which club does the person currently play for?</t>
  </si>
  <si>
    <t>What club team does the person play for in June 2026?</t>
  </si>
  <si>
    <t>Which club does the person play for currently?</t>
  </si>
  <si>
    <t>Which club does the person represent in June 2026?</t>
  </si>
  <si>
    <t>None, Free Agent</t>
  </si>
  <si>
    <t>Which club did the person play for before his present club?</t>
  </si>
  <si>
    <t>Manchester City</t>
  </si>
  <si>
    <t>Tottenham Hotspur FC</t>
  </si>
  <si>
    <t>West Ham United FC</t>
  </si>
  <si>
    <t>Flamengo FC</t>
  </si>
  <si>
    <t>Swindown Town FC</t>
  </si>
  <si>
    <t>Sunderland AFC</t>
  </si>
  <si>
    <t>Which club side does the person play for?</t>
  </si>
  <si>
    <t>news</t>
  </si>
  <si>
    <t>What event does this picture represent?</t>
  </si>
  <si>
    <t>Milan Cortina, Paralympic Games 2026</t>
  </si>
  <si>
    <t>vision_dynamic_dataset\\021.jpg</t>
  </si>
  <si>
    <t>vision_dynamic_dataset\\022.jpg</t>
  </si>
  <si>
    <t>vision_dynamic_dataset\\023.jpg</t>
  </si>
  <si>
    <t>vision_dynamic_dataset\\024.jpg</t>
  </si>
  <si>
    <t>vision_dynamic_dataset\\025.jpg</t>
  </si>
  <si>
    <t>vision_dynamic_dataset\\026.jpg</t>
  </si>
  <si>
    <t>vision_dynamic_dataset\\027.jpg</t>
  </si>
  <si>
    <t>vision_dynamic_dataset\\028.jpg</t>
  </si>
  <si>
    <t>vision_dynamic_dataset\\029.jpg</t>
  </si>
  <si>
    <t>vision_dynamic_dataset\\030.jpg</t>
  </si>
  <si>
    <t>What important event does this picture represent?</t>
  </si>
  <si>
    <t>Zohran Mamdani sworn-in as the Mayor of New York City</t>
  </si>
  <si>
    <t>What sports team does this picture represent?</t>
  </si>
  <si>
    <t>Seattle Seahawks</t>
  </si>
  <si>
    <t>India winning Mens's T20 Cricket World Cup</t>
  </si>
  <si>
    <t>What position does this person currently hold?</t>
  </si>
  <si>
    <t>Prime Minsiter of Hungary</t>
  </si>
  <si>
    <t>Is the person in the image still alive?</t>
  </si>
  <si>
    <t xml:space="preserve">No </t>
  </si>
  <si>
    <t>When was this movie released in the USA?</t>
  </si>
  <si>
    <t>Artemis II 2 Spaceship Launch</t>
  </si>
  <si>
    <t>Felix Rosenqvist wins the Indianapolis 500 2026</t>
  </si>
  <si>
    <t>Indiana Hosiers win the first college football national title</t>
  </si>
  <si>
    <t>world_leaders</t>
  </si>
  <si>
    <t>vision_dynamic_dataset\\031.jpg</t>
  </si>
  <si>
    <t>vision_dynamic_dataset\\032.jpg</t>
  </si>
  <si>
    <t>vision_dynamic_dataset\\033.jpg</t>
  </si>
  <si>
    <t>vision_dynamic_dataset\\034.jpg</t>
  </si>
  <si>
    <t>vision_dynamic_dataset\\035.jpg</t>
  </si>
  <si>
    <t>vision_dynamic_dataset\\036.jpg</t>
  </si>
  <si>
    <t>vision_dynamic_dataset\\037.jpg</t>
  </si>
  <si>
    <t>vision_dynamic_dataset\\038.jpg</t>
  </si>
  <si>
    <t>vision_dynamic_dataset\\039.jpg</t>
  </si>
  <si>
    <t>vision_dynamic_dataset\\040.jpg</t>
  </si>
  <si>
    <t>Which important leadership title does this person currently hold?</t>
  </si>
  <si>
    <t>Prime Minister of Bulgaria</t>
  </si>
  <si>
    <t>Prime Minister of the Solomon Islands</t>
  </si>
  <si>
    <t>Minister of Finance and Public Credit of Colombia</t>
  </si>
  <si>
    <t>Minister of Finance (Democratic Republic of the Congo)</t>
  </si>
  <si>
    <t>president of Benin</t>
  </si>
  <si>
    <t>Minister of Economy, Finance, and Cooperation of Benin</t>
  </si>
  <si>
    <t>Minister of Economy and Finance of Peru</t>
  </si>
  <si>
    <t xml:space="preserve">Prime Minister of Peru </t>
  </si>
  <si>
    <t>Prime Minister of Cabo Verde</t>
  </si>
  <si>
    <t>Minister of Foreign Affairs, Cooperation, and Regional Integration of Cabo Verde</t>
  </si>
  <si>
    <t>known_personality</t>
  </si>
  <si>
    <t>Is the person in the image still alive as of today?</t>
  </si>
  <si>
    <t>Did this person die recently?</t>
  </si>
  <si>
    <t>FIL853</t>
  </si>
  <si>
    <t>FIL915</t>
  </si>
  <si>
    <t>FIL760</t>
  </si>
  <si>
    <t>FIL269</t>
  </si>
  <si>
    <t>FIL314</t>
  </si>
  <si>
    <t>FIL879</t>
  </si>
  <si>
    <t>FIL468</t>
  </si>
  <si>
    <t>FIL334</t>
  </si>
  <si>
    <t>FIL859</t>
  </si>
  <si>
    <t>FIL655</t>
  </si>
  <si>
    <t>FOO434</t>
  </si>
  <si>
    <t>FOO231</t>
  </si>
  <si>
    <t>FOO890</t>
  </si>
  <si>
    <t>FOO917</t>
  </si>
  <si>
    <t>FOO534</t>
  </si>
  <si>
    <t>FOO070</t>
  </si>
  <si>
    <t>FOO338</t>
  </si>
  <si>
    <t>FOO804</t>
  </si>
  <si>
    <t>FOO439</t>
  </si>
  <si>
    <t>FOO489</t>
  </si>
  <si>
    <t>NEW840</t>
  </si>
  <si>
    <t>NEW106</t>
  </si>
  <si>
    <t>NEW506</t>
  </si>
  <si>
    <t>NEW089</t>
  </si>
  <si>
    <t>NEW933</t>
  </si>
  <si>
    <t>NEW848</t>
  </si>
  <si>
    <t>NEW591</t>
  </si>
  <si>
    <t>NEW776</t>
  </si>
  <si>
    <t>NEW201</t>
  </si>
  <si>
    <t>WOR421</t>
  </si>
  <si>
    <t>WOR284</t>
  </si>
  <si>
    <t>WOR487</t>
  </si>
  <si>
    <t>WOR887</t>
  </si>
  <si>
    <t>WOR115</t>
  </si>
  <si>
    <t>WOR761</t>
  </si>
  <si>
    <t>WOR961</t>
  </si>
  <si>
    <t>WOR981</t>
  </si>
  <si>
    <t>WOR617</t>
  </si>
  <si>
    <t>WOR302</t>
  </si>
  <si>
    <t>KNO889</t>
  </si>
  <si>
    <t>KNO740</t>
  </si>
  <si>
    <t>KNO464</t>
  </si>
  <si>
    <t>KNO780</t>
  </si>
  <si>
    <t>KNO353</t>
  </si>
  <si>
    <t>KNO997</t>
  </si>
  <si>
    <t>KNO358</t>
  </si>
  <si>
    <t>KNO306</t>
  </si>
  <si>
    <t>KNO830</t>
  </si>
  <si>
    <t>KNO917</t>
  </si>
  <si>
    <t>June 19, 2026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</si>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</sst>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941-037C-4EF8-A301-BD28D35417E3}">
  <dimension ref="A1:G51"/>
  <sheetViews>
    <sheetView tabSelected="1" workbookViewId="0">
      <selection activeCell="E4" sqref="E4"/>
    </sheetView>
  </sheetViews>
  <sheetFormatPr defaultRowHeight="14.5" x14ac:dyDescent="0.35"/>
  <cols>
    <col min="3" max="3" width="2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130</v>
      </c>
      <c r="B2" t="s">
        <v>35</v>
      </c>
      <c r="C2" t="s">
        <v>45</v>
      </c>
      <c r="D2" t="s">
        <v>41</v>
      </c>
      <c r="E2" t="s">
        <v>58</v>
      </c>
      <c r="F2" s="2">
        <v>46174</v>
      </c>
      <c r="G2" s="2">
        <v>46174</v>
      </c>
    </row>
    <row r="3" spans="1:7" x14ac:dyDescent="0.35">
      <c r="A3" t="s">
        <v>120</v>
      </c>
      <c r="B3" t="s">
        <v>7</v>
      </c>
      <c r="C3" t="s">
        <v>12</v>
      </c>
      <c r="D3" t="s">
        <v>25</v>
      </c>
      <c r="E3" t="s">
        <v>30</v>
      </c>
      <c r="F3" s="2">
        <v>46174</v>
      </c>
      <c r="G3" s="2">
        <v>45839</v>
      </c>
    </row>
    <row r="4" spans="1:7" x14ac:dyDescent="0.35">
      <c r="A4" t="s">
        <v>154</v>
      </c>
      <c r="B4" t="s">
        <v>112</v>
      </c>
      <c r="C4" t="str">
        <f>"vision_dynamic_dataset\\" &amp; TEXT(41,"000") &amp; ".jpg"</f>
        <v>vision_dynamic_dataset\\041.jpg</v>
      </c>
      <c r="D4" t="s">
        <v>113</v>
      </c>
      <c r="E4" t="s">
        <v>165</v>
      </c>
      <c r="F4" s="2">
        <v>46174</v>
      </c>
      <c r="G4" s="2">
        <v>46174</v>
      </c>
    </row>
    <row r="5" spans="1:7" x14ac:dyDescent="0.35">
      <c r="A5" t="s">
        <v>135</v>
      </c>
      <c r="B5" t="s">
        <v>64</v>
      </c>
      <c r="C5" t="s">
        <v>67</v>
      </c>
      <c r="D5" t="s">
        <v>65</v>
      </c>
      <c r="E5" t="s">
        <v>66</v>
      </c>
      <c r="F5" s="2">
        <v>46174</v>
      </c>
      <c r="G5" s="2">
        <v>46143</v>
      </c>
    </row>
    <row r="6" spans="1:7" x14ac:dyDescent="0.35">
      <c r="A6" t="s">
        <v>125</v>
      </c>
      <c r="B6" t="s">
        <v>35</v>
      </c>
      <c r="C6" t="s">
        <v>36</v>
      </c>
      <c r="D6" t="s">
        <v>54</v>
      </c>
      <c r="E6" t="s">
        <v>39</v>
      </c>
      <c r="F6" s="2">
        <v>46174</v>
      </c>
      <c r="G6" s="2">
        <v>46174</v>
      </c>
    </row>
    <row r="7" spans="1:7" x14ac:dyDescent="0.35">
      <c r="A7" t="s">
        <v>123</v>
      </c>
      <c r="B7" t="s">
        <v>7</v>
      </c>
      <c r="C7" t="s">
        <v>15</v>
      </c>
      <c r="D7" t="s">
        <v>34</v>
      </c>
      <c r="E7" t="s">
        <v>33</v>
      </c>
      <c r="F7" s="2">
        <v>46174</v>
      </c>
      <c r="G7" s="2">
        <v>46143</v>
      </c>
    </row>
    <row r="8" spans="1:7" x14ac:dyDescent="0.35">
      <c r="A8" t="s">
        <v>149</v>
      </c>
      <c r="B8" t="s">
        <v>90</v>
      </c>
      <c r="C8" t="s">
        <v>96</v>
      </c>
      <c r="D8" t="s">
        <v>101</v>
      </c>
      <c r="E8" t="s">
        <v>107</v>
      </c>
      <c r="F8" s="2">
        <v>46174</v>
      </c>
      <c r="G8" s="2">
        <v>46174</v>
      </c>
    </row>
    <row r="9" spans="1:7" x14ac:dyDescent="0.35">
      <c r="A9" t="s">
        <v>128</v>
      </c>
      <c r="B9" t="s">
        <v>35</v>
      </c>
      <c r="C9" t="s">
        <v>43</v>
      </c>
      <c r="D9" t="s">
        <v>51</v>
      </c>
      <c r="E9" t="s">
        <v>55</v>
      </c>
      <c r="F9" s="2">
        <v>46174</v>
      </c>
      <c r="G9" s="2">
        <v>46054</v>
      </c>
    </row>
    <row r="10" spans="1:7" x14ac:dyDescent="0.35">
      <c r="A10" t="s">
        <v>139</v>
      </c>
      <c r="B10" t="s">
        <v>64</v>
      </c>
      <c r="C10" t="s">
        <v>72</v>
      </c>
      <c r="D10" t="s">
        <v>84</v>
      </c>
      <c r="E10" t="s">
        <v>85</v>
      </c>
      <c r="F10" s="2">
        <v>46174</v>
      </c>
      <c r="G10" s="2">
        <v>46143</v>
      </c>
    </row>
    <row r="11" spans="1:7" x14ac:dyDescent="0.35">
      <c r="A11" t="s">
        <v>119</v>
      </c>
      <c r="B11" t="s">
        <v>7</v>
      </c>
      <c r="C11" t="s">
        <v>11</v>
      </c>
      <c r="D11" t="s">
        <v>19</v>
      </c>
      <c r="E11">
        <v>5.6</v>
      </c>
      <c r="F11" s="2">
        <v>46174</v>
      </c>
      <c r="G11" s="2">
        <v>46174</v>
      </c>
    </row>
    <row r="12" spans="1:7" x14ac:dyDescent="0.35">
      <c r="A12" t="s">
        <v>126</v>
      </c>
      <c r="B12" t="s">
        <v>35</v>
      </c>
      <c r="C12" t="s">
        <v>40</v>
      </c>
      <c r="D12" t="s">
        <v>53</v>
      </c>
      <c r="E12" t="s">
        <v>38</v>
      </c>
      <c r="F12" s="2">
        <v>46174</v>
      </c>
      <c r="G12" s="2">
        <v>46023</v>
      </c>
    </row>
    <row r="13" spans="1:7" x14ac:dyDescent="0.35">
      <c r="A13" t="s">
        <v>134</v>
      </c>
      <c r="B13" t="s">
        <v>35</v>
      </c>
      <c r="C13" t="s">
        <v>49</v>
      </c>
      <c r="D13" t="s">
        <v>63</v>
      </c>
      <c r="E13" t="s">
        <v>62</v>
      </c>
      <c r="F13" s="2">
        <v>46174</v>
      </c>
      <c r="G13" s="2">
        <v>46174</v>
      </c>
    </row>
    <row r="14" spans="1:7" x14ac:dyDescent="0.35">
      <c r="A14" t="s">
        <v>137</v>
      </c>
      <c r="B14" t="s">
        <v>64</v>
      </c>
      <c r="C14" t="s">
        <v>70</v>
      </c>
      <c r="D14" t="s">
        <v>77</v>
      </c>
      <c r="E14" t="s">
        <v>81</v>
      </c>
      <c r="F14" s="2">
        <v>46174</v>
      </c>
      <c r="G14" s="2">
        <v>46082</v>
      </c>
    </row>
    <row r="15" spans="1:7" x14ac:dyDescent="0.35">
      <c r="A15" t="s">
        <v>142</v>
      </c>
      <c r="B15" t="s">
        <v>64</v>
      </c>
      <c r="C15" t="s">
        <v>75</v>
      </c>
      <c r="D15" t="s">
        <v>65</v>
      </c>
      <c r="E15" t="s">
        <v>88</v>
      </c>
      <c r="F15" s="2">
        <v>46174</v>
      </c>
      <c r="G15" s="2">
        <v>46054</v>
      </c>
    </row>
    <row r="16" spans="1:7" x14ac:dyDescent="0.35">
      <c r="A16" t="s">
        <v>127</v>
      </c>
      <c r="B16" t="s">
        <v>35</v>
      </c>
      <c r="C16" t="s">
        <v>42</v>
      </c>
      <c r="D16" t="s">
        <v>52</v>
      </c>
      <c r="E16" t="s">
        <v>50</v>
      </c>
      <c r="F16" s="2">
        <v>46174</v>
      </c>
      <c r="G16" s="2">
        <v>46023</v>
      </c>
    </row>
    <row r="17" spans="1:7" x14ac:dyDescent="0.35">
      <c r="A17" t="s">
        <v>157</v>
      </c>
      <c r="B17" t="s">
        <v>112</v>
      </c>
      <c r="C17" t="str">
        <f>"vision_dynamic_dataset\\" &amp; TEXT(44,"000") &amp; ".jpg"</f>
        <v>vision_dynamic_dataset\\044.jpg</v>
      </c>
      <c r="D17" t="s">
        <v>114</v>
      </c>
      <c r="E17" t="s">
        <v>166</v>
      </c>
      <c r="F17" s="2">
        <v>46174</v>
      </c>
      <c r="G17" s="2">
        <v>46174</v>
      </c>
    </row>
    <row r="18" spans="1:7" x14ac:dyDescent="0.35">
      <c r="A18" t="s">
        <v>118</v>
      </c>
      <c r="B18" t="s">
        <v>7</v>
      </c>
      <c r="C18" t="s">
        <v>10</v>
      </c>
      <c r="D18" t="s">
        <v>20</v>
      </c>
      <c r="E18" s="1">
        <v>0.97</v>
      </c>
      <c r="F18" s="2">
        <v>46174</v>
      </c>
      <c r="G18" s="2">
        <v>46174</v>
      </c>
    </row>
    <row r="19" spans="1:7" x14ac:dyDescent="0.35">
      <c r="A19" t="s">
        <v>153</v>
      </c>
      <c r="B19" t="s">
        <v>90</v>
      </c>
      <c r="C19" t="s">
        <v>100</v>
      </c>
      <c r="D19" t="s">
        <v>101</v>
      </c>
      <c r="E19" t="s">
        <v>111</v>
      </c>
      <c r="F19" s="2">
        <v>46174</v>
      </c>
      <c r="G19" s="2">
        <v>46082</v>
      </c>
    </row>
    <row r="20" spans="1:7" x14ac:dyDescent="0.35">
      <c r="A20" t="s">
        <v>116</v>
      </c>
      <c r="B20" t="s">
        <v>7</v>
      </c>
      <c r="C20" t="s">
        <v>9</v>
      </c>
      <c r="D20" t="s">
        <v>18</v>
      </c>
      <c r="E20" t="s">
        <v>23</v>
      </c>
      <c r="F20" s="2">
        <v>46174</v>
      </c>
      <c r="G20" s="2">
        <v>45809</v>
      </c>
    </row>
    <row r="21" spans="1:7" x14ac:dyDescent="0.35">
      <c r="A21" t="s">
        <v>162</v>
      </c>
      <c r="B21" t="s">
        <v>112</v>
      </c>
      <c r="C21" t="str">
        <f>"vision_dynamic_dataset\\" &amp; TEXT(49,"000") &amp; ".jpg"</f>
        <v>vision_dynamic_dataset\\049.jpg</v>
      </c>
      <c r="D21" t="s">
        <v>113</v>
      </c>
      <c r="F21" s="2">
        <v>46174</v>
      </c>
      <c r="G21" s="2">
        <v>46174</v>
      </c>
    </row>
    <row r="22" spans="1:7" x14ac:dyDescent="0.35">
      <c r="A22" t="s">
        <v>124</v>
      </c>
      <c r="B22" t="s">
        <v>7</v>
      </c>
      <c r="C22" t="s">
        <v>16</v>
      </c>
      <c r="D22" t="s">
        <v>28</v>
      </c>
      <c r="E22" t="s">
        <v>29</v>
      </c>
      <c r="F22" s="2">
        <v>46174</v>
      </c>
      <c r="G22" s="2">
        <v>46296</v>
      </c>
    </row>
    <row r="23" spans="1:7" x14ac:dyDescent="0.35">
      <c r="A23" t="s">
        <v>135</v>
      </c>
      <c r="B23" t="s">
        <v>64</v>
      </c>
      <c r="C23" t="s">
        <v>69</v>
      </c>
      <c r="D23" t="s">
        <v>79</v>
      </c>
      <c r="E23" t="s">
        <v>80</v>
      </c>
      <c r="F23" s="2">
        <v>46174</v>
      </c>
      <c r="G23" s="2">
        <v>46082</v>
      </c>
    </row>
    <row r="24" spans="1:7" x14ac:dyDescent="0.35">
      <c r="A24" t="s">
        <v>115</v>
      </c>
      <c r="B24" t="s">
        <v>7</v>
      </c>
      <c r="C24" t="s">
        <v>8</v>
      </c>
      <c r="D24" t="s">
        <v>21</v>
      </c>
      <c r="E24" t="s">
        <v>22</v>
      </c>
      <c r="F24" s="2">
        <v>46174</v>
      </c>
      <c r="G24" s="2">
        <v>46082</v>
      </c>
    </row>
    <row r="25" spans="1:7" x14ac:dyDescent="0.35">
      <c r="A25" t="s">
        <v>151</v>
      </c>
      <c r="B25" t="s">
        <v>90</v>
      </c>
      <c r="C25" t="s">
        <v>98</v>
      </c>
      <c r="D25" t="s">
        <v>101</v>
      </c>
      <c r="E25" t="s">
        <v>109</v>
      </c>
      <c r="F25" s="2">
        <v>46174</v>
      </c>
      <c r="G25" s="2">
        <v>46143</v>
      </c>
    </row>
    <row r="26" spans="1:7" x14ac:dyDescent="0.35">
      <c r="A26" t="s">
        <v>148</v>
      </c>
      <c r="B26" t="s">
        <v>90</v>
      </c>
      <c r="C26" t="s">
        <v>95</v>
      </c>
      <c r="D26" t="s">
        <v>82</v>
      </c>
      <c r="E26" t="s">
        <v>106</v>
      </c>
      <c r="F26" s="2">
        <v>46174</v>
      </c>
      <c r="G26" s="2">
        <v>46174</v>
      </c>
    </row>
    <row r="27" spans="1:7" x14ac:dyDescent="0.35">
      <c r="A27" t="s">
        <v>146</v>
      </c>
      <c r="B27" t="s">
        <v>90</v>
      </c>
      <c r="C27" t="s">
        <v>93</v>
      </c>
      <c r="D27" t="s">
        <v>82</v>
      </c>
      <c r="E27" t="s">
        <v>104</v>
      </c>
      <c r="F27" s="2">
        <v>46174</v>
      </c>
      <c r="G27" s="2">
        <v>45778</v>
      </c>
    </row>
    <row r="28" spans="1:7" x14ac:dyDescent="0.35">
      <c r="A28" t="s">
        <v>145</v>
      </c>
      <c r="B28" t="s">
        <v>90</v>
      </c>
      <c r="C28" t="s">
        <v>92</v>
      </c>
      <c r="D28" t="s">
        <v>101</v>
      </c>
      <c r="E28" t="s">
        <v>103</v>
      </c>
      <c r="F28" s="2">
        <v>46174</v>
      </c>
      <c r="G28" s="2">
        <v>46143</v>
      </c>
    </row>
    <row r="29" spans="1:7" x14ac:dyDescent="0.35">
      <c r="A29" t="s">
        <v>155</v>
      </c>
      <c r="B29" t="s">
        <v>112</v>
      </c>
      <c r="C29" t="str">
        <f>"vision_dynamic_dataset\\" &amp; TEXT(42,"000") &amp; ".jpg"</f>
        <v>vision_dynamic_dataset\\042.jpg</v>
      </c>
      <c r="D29" t="s">
        <v>114</v>
      </c>
      <c r="E29" t="s">
        <v>166</v>
      </c>
      <c r="F29" s="2">
        <v>46174</v>
      </c>
      <c r="G29" s="2">
        <v>46174</v>
      </c>
    </row>
    <row r="30" spans="1:7" x14ac:dyDescent="0.35">
      <c r="A30" t="s">
        <v>122</v>
      </c>
      <c r="B30" t="s">
        <v>7</v>
      </c>
      <c r="C30" t="s">
        <v>14</v>
      </c>
      <c r="D30" t="s">
        <v>32</v>
      </c>
      <c r="E30" t="s">
        <v>31</v>
      </c>
      <c r="F30" s="2">
        <v>46174</v>
      </c>
      <c r="G30" s="2">
        <v>46235</v>
      </c>
    </row>
    <row r="31" spans="1:7" x14ac:dyDescent="0.35">
      <c r="A31" t="s">
        <v>140</v>
      </c>
      <c r="B31" t="s">
        <v>64</v>
      </c>
      <c r="C31" t="s">
        <v>73</v>
      </c>
      <c r="D31" t="s">
        <v>86</v>
      </c>
      <c r="E31" t="s">
        <v>164</v>
      </c>
      <c r="F31" s="2">
        <v>46174</v>
      </c>
      <c r="G31" s="2">
        <v>46174</v>
      </c>
    </row>
    <row r="32" spans="1:7" x14ac:dyDescent="0.35">
      <c r="A32" t="s">
        <v>131</v>
      </c>
      <c r="B32" t="s">
        <v>35</v>
      </c>
      <c r="C32" t="s">
        <v>46</v>
      </c>
      <c r="D32" t="s">
        <v>37</v>
      </c>
      <c r="E32" t="s">
        <v>59</v>
      </c>
      <c r="F32" s="2">
        <v>46174</v>
      </c>
      <c r="G32" s="2">
        <v>46174</v>
      </c>
    </row>
    <row r="33" spans="1:7" x14ac:dyDescent="0.35">
      <c r="A33" t="s">
        <v>133</v>
      </c>
      <c r="B33" t="s">
        <v>35</v>
      </c>
      <c r="C33" t="s">
        <v>48</v>
      </c>
      <c r="D33" t="s">
        <v>37</v>
      </c>
      <c r="E33" t="s">
        <v>61</v>
      </c>
      <c r="F33" s="2">
        <v>46174</v>
      </c>
      <c r="G33" s="2">
        <v>46174</v>
      </c>
    </row>
    <row r="34" spans="1:7" x14ac:dyDescent="0.35">
      <c r="A34" t="s">
        <v>121</v>
      </c>
      <c r="B34" t="s">
        <v>7</v>
      </c>
      <c r="C34" t="s">
        <v>13</v>
      </c>
      <c r="D34" t="s">
        <v>26</v>
      </c>
      <c r="E34" t="s">
        <v>27</v>
      </c>
      <c r="F34" s="2">
        <v>46174</v>
      </c>
      <c r="G34" s="2">
        <v>46023</v>
      </c>
    </row>
    <row r="35" spans="1:7" x14ac:dyDescent="0.35">
      <c r="A35" t="s">
        <v>156</v>
      </c>
      <c r="B35" t="s">
        <v>112</v>
      </c>
      <c r="C35" t="str">
        <f>"vision_dynamic_dataset\\" &amp; TEXT(43,"000") &amp; ".jpg"</f>
        <v>vision_dynamic_dataset\\043.jpg</v>
      </c>
      <c r="D35" t="s">
        <v>113</v>
      </c>
      <c r="E35" t="s">
        <v>165</v>
      </c>
      <c r="F35" s="2">
        <v>46174</v>
      </c>
      <c r="G35" s="2">
        <v>46174</v>
      </c>
    </row>
    <row r="36" spans="1:7" x14ac:dyDescent="0.35">
      <c r="A36" t="s">
        <v>129</v>
      </c>
      <c r="B36" t="s">
        <v>35</v>
      </c>
      <c r="C36" t="s">
        <v>44</v>
      </c>
      <c r="D36" t="s">
        <v>56</v>
      </c>
      <c r="E36" t="s">
        <v>57</v>
      </c>
      <c r="F36" s="2">
        <v>46174</v>
      </c>
      <c r="G36" s="2">
        <v>46023</v>
      </c>
    </row>
    <row r="37" spans="1:7" x14ac:dyDescent="0.35">
      <c r="A37" t="s">
        <v>160</v>
      </c>
      <c r="B37" t="s">
        <v>112</v>
      </c>
      <c r="C37" t="str">
        <f>"vision_dynamic_dataset\\" &amp; TEXT(47,"000") &amp; ".jpg"</f>
        <v>vision_dynamic_dataset\\047.jpg</v>
      </c>
      <c r="D37" t="s">
        <v>113</v>
      </c>
      <c r="F37" s="2">
        <v>46174</v>
      </c>
      <c r="G37" s="2">
        <v>46174</v>
      </c>
    </row>
    <row r="38" spans="1:7" x14ac:dyDescent="0.35">
      <c r="A38" t="s">
        <v>152</v>
      </c>
      <c r="B38" t="s">
        <v>90</v>
      </c>
      <c r="C38" t="s">
        <v>99</v>
      </c>
      <c r="D38" t="s">
        <v>82</v>
      </c>
      <c r="E38" t="s">
        <v>110</v>
      </c>
      <c r="F38" s="2">
        <v>46174</v>
      </c>
      <c r="G38" s="2">
        <v>46082</v>
      </c>
    </row>
    <row r="39" spans="1:7" x14ac:dyDescent="0.35">
      <c r="A39" t="s">
        <v>159</v>
      </c>
      <c r="B39" t="s">
        <v>112</v>
      </c>
      <c r="C39" t="str">
        <f>"vision_dynamic_dataset\\" &amp; TEXT(46,"000") &amp; ".jpg"</f>
        <v>vision_dynamic_dataset\\046.jpg</v>
      </c>
      <c r="D39" t="s">
        <v>114</v>
      </c>
      <c r="E39" t="s">
        <v>165</v>
      </c>
      <c r="F39" s="2">
        <v>46174</v>
      </c>
      <c r="G39" s="2">
        <v>46174</v>
      </c>
    </row>
    <row r="40" spans="1:7" x14ac:dyDescent="0.35">
      <c r="A40" t="s">
        <v>158</v>
      </c>
      <c r="B40" t="s">
        <v>112</v>
      </c>
      <c r="C40" t="str">
        <f>"vision_dynamic_dataset\\" &amp; TEXT(45,"000") &amp; ".jpg"</f>
        <v>vision_dynamic_dataset\\045.jpg</v>
      </c>
      <c r="D40" t="s">
        <v>113</v>
      </c>
      <c r="E40" t="s">
        <v>165</v>
      </c>
      <c r="F40" s="2">
        <v>46174</v>
      </c>
      <c r="G40" s="2">
        <v>46174</v>
      </c>
    </row>
    <row r="41" spans="1:7" x14ac:dyDescent="0.35">
      <c r="A41" t="s">
        <v>144</v>
      </c>
      <c r="B41" t="s">
        <v>90</v>
      </c>
      <c r="C41" t="s">
        <v>91</v>
      </c>
      <c r="D41" t="s">
        <v>82</v>
      </c>
      <c r="E41" t="s">
        <v>102</v>
      </c>
      <c r="F41" s="2">
        <v>46174</v>
      </c>
      <c r="G41" s="2">
        <v>46143</v>
      </c>
    </row>
    <row r="42" spans="1:7" x14ac:dyDescent="0.35">
      <c r="A42" t="s">
        <v>147</v>
      </c>
      <c r="B42" t="s">
        <v>90</v>
      </c>
      <c r="C42" t="s">
        <v>94</v>
      </c>
      <c r="D42" t="s">
        <v>101</v>
      </c>
      <c r="E42" t="s">
        <v>105</v>
      </c>
      <c r="F42" s="2">
        <v>46174</v>
      </c>
    </row>
    <row r="43" spans="1:7" x14ac:dyDescent="0.35">
      <c r="A43" t="s">
        <v>138</v>
      </c>
      <c r="B43" t="s">
        <v>64</v>
      </c>
      <c r="C43" t="s">
        <v>71</v>
      </c>
      <c r="D43" t="s">
        <v>82</v>
      </c>
      <c r="E43" t="s">
        <v>83</v>
      </c>
      <c r="F43" s="2">
        <v>46174</v>
      </c>
      <c r="G43" s="2">
        <v>46113</v>
      </c>
    </row>
    <row r="44" spans="1:7" x14ac:dyDescent="0.35">
      <c r="A44" t="s">
        <v>117</v>
      </c>
      <c r="B44" t="s">
        <v>7</v>
      </c>
      <c r="C44" t="s">
        <v>17</v>
      </c>
      <c r="D44" t="s">
        <v>25</v>
      </c>
      <c r="E44" t="s">
        <v>24</v>
      </c>
      <c r="F44" s="2">
        <v>46174</v>
      </c>
      <c r="G44" s="2">
        <v>46143</v>
      </c>
    </row>
    <row r="45" spans="1:7" x14ac:dyDescent="0.35">
      <c r="A45" t="s">
        <v>161</v>
      </c>
      <c r="B45" t="s">
        <v>112</v>
      </c>
      <c r="C45" t="str">
        <f>"vision_dynamic_dataset\\" &amp; TEXT(48,"000") &amp; ".jpg"</f>
        <v>vision_dynamic_dataset\\048.jpg</v>
      </c>
      <c r="D45" t="s">
        <v>114</v>
      </c>
      <c r="E45" t="s">
        <v>165</v>
      </c>
      <c r="F45" s="2">
        <v>46174</v>
      </c>
      <c r="G45" s="2">
        <v>46174</v>
      </c>
    </row>
    <row r="46" spans="1:7" x14ac:dyDescent="0.35">
      <c r="A46" t="s">
        <v>132</v>
      </c>
      <c r="B46" t="s">
        <v>35</v>
      </c>
      <c r="C46" t="s">
        <v>47</v>
      </c>
      <c r="D46" t="s">
        <v>41</v>
      </c>
      <c r="E46" t="s">
        <v>60</v>
      </c>
      <c r="F46" s="2">
        <v>46174</v>
      </c>
      <c r="G46" s="2">
        <v>46174</v>
      </c>
    </row>
    <row r="47" spans="1:7" x14ac:dyDescent="0.35">
      <c r="A47" t="s">
        <v>163</v>
      </c>
      <c r="B47" t="s">
        <v>112</v>
      </c>
      <c r="C47" t="str">
        <f>"vision_dynamic_dataset\\" &amp; TEXT(50,"000") &amp; ".jpg"</f>
        <v>vision_dynamic_dataset\\050.jpg</v>
      </c>
      <c r="D47" t="s">
        <v>114</v>
      </c>
      <c r="E47" t="s">
        <v>165</v>
      </c>
      <c r="F47" s="2">
        <v>46174</v>
      </c>
      <c r="G47" s="2">
        <v>46174</v>
      </c>
    </row>
    <row r="48" spans="1:7" x14ac:dyDescent="0.35">
      <c r="A48" t="s">
        <v>136</v>
      </c>
      <c r="B48" t="s">
        <v>64</v>
      </c>
      <c r="C48" t="s">
        <v>68</v>
      </c>
      <c r="D48" t="s">
        <v>77</v>
      </c>
      <c r="E48" t="s">
        <v>78</v>
      </c>
      <c r="F48" s="2">
        <v>46174</v>
      </c>
      <c r="G48" s="2">
        <v>46023</v>
      </c>
    </row>
    <row r="49" spans="1:7" x14ac:dyDescent="0.35">
      <c r="A49" t="s">
        <v>150</v>
      </c>
      <c r="B49" t="s">
        <v>90</v>
      </c>
      <c r="C49" t="s">
        <v>97</v>
      </c>
      <c r="D49" t="s">
        <v>82</v>
      </c>
      <c r="E49" t="s">
        <v>108</v>
      </c>
      <c r="F49" s="2">
        <v>46174</v>
      </c>
      <c r="G49" s="2">
        <v>46143</v>
      </c>
    </row>
    <row r="50" spans="1:7" x14ac:dyDescent="0.35">
      <c r="A50" t="s">
        <v>141</v>
      </c>
      <c r="B50" t="s">
        <v>64</v>
      </c>
      <c r="C50" t="s">
        <v>74</v>
      </c>
      <c r="D50" t="s">
        <v>77</v>
      </c>
      <c r="E50" t="s">
        <v>87</v>
      </c>
      <c r="F50" s="2">
        <v>46174</v>
      </c>
      <c r="G50" s="2">
        <v>46143</v>
      </c>
    </row>
    <row r="51" spans="1:7" x14ac:dyDescent="0.35">
      <c r="A51" t="s">
        <v>143</v>
      </c>
      <c r="B51" t="s">
        <v>64</v>
      </c>
      <c r="C51" t="s">
        <v>76</v>
      </c>
      <c r="D51" t="s">
        <v>77</v>
      </c>
      <c r="E51" t="s">
        <v>89</v>
      </c>
      <c r="F51" s="2">
        <v>46174</v>
      </c>
      <c r="G51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Kale</dc:creator>
  <cp:lastModifiedBy>Sahil Kale</cp:lastModifiedBy>
  <dcterms:created xsi:type="dcterms:W3CDTF">2026-06-27T08:06:50Z</dcterms:created>
  <dcterms:modified xsi:type="dcterms:W3CDTF">2026-06-27T15:26:10Z</dcterms:modified>
</cp:coreProperties>
</file>